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项目资料\牟定\升级合同\升级合同\10、安装设备及费用确认表\"/>
    </mc:Choice>
  </mc:AlternateContent>
  <bookViews>
    <workbookView xWindow="0" yWindow="0" windowWidth="27945" windowHeight="12375"/>
  </bookViews>
  <sheets>
    <sheet name="C2合同包 (2)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9" i="1" l="1"/>
  <c r="F46" i="1"/>
  <c r="F45" i="1"/>
  <c r="F44" i="1"/>
  <c r="F43" i="1"/>
  <c r="F42" i="1"/>
  <c r="F41" i="1"/>
  <c r="F39" i="1"/>
  <c r="F35" i="1"/>
</calcChain>
</file>

<file path=xl/sharedStrings.xml><?xml version="1.0" encoding="utf-8"?>
<sst xmlns="http://schemas.openxmlformats.org/spreadsheetml/2006/main" count="522" uniqueCount="190">
  <si>
    <r>
      <rPr>
        <b/>
        <sz val="16"/>
        <rFont val="宋体"/>
        <family val="3"/>
        <charset val="134"/>
      </rPr>
      <t xml:space="preserve">              </t>
    </r>
    <r>
      <rPr>
        <b/>
        <sz val="20"/>
        <rFont val="宋体"/>
        <family val="3"/>
        <charset val="134"/>
      </rPr>
      <t xml:space="preserve"> CX项目智能工地硬件安装确认单-C2 </t>
    </r>
    <r>
      <rPr>
        <b/>
        <sz val="16"/>
        <rFont val="宋体"/>
        <family val="3"/>
        <charset val="134"/>
      </rPr>
      <t xml:space="preserve">         </t>
    </r>
    <r>
      <rPr>
        <b/>
        <sz val="10"/>
        <rFont val="宋体"/>
        <family val="3"/>
        <charset val="134"/>
      </rPr>
      <t>编号：CX-ZNGD-AZQRD-DX-0005</t>
    </r>
  </si>
  <si>
    <t>序号</t>
  </si>
  <si>
    <t>设备名称</t>
  </si>
  <si>
    <t>品牌</t>
  </si>
  <si>
    <t>规格型号</t>
  </si>
  <si>
    <t>单位</t>
  </si>
  <si>
    <t>数量</t>
  </si>
  <si>
    <t>安装情况</t>
  </si>
  <si>
    <t>安装时间</t>
  </si>
  <si>
    <t>使用单位</t>
  </si>
  <si>
    <t>备注</t>
  </si>
  <si>
    <t>（一）5G定制局域网</t>
  </si>
  <si>
    <t>5G CPE</t>
  </si>
  <si>
    <t>力必拓</t>
  </si>
  <si>
    <t>力必拓LBT-T300</t>
  </si>
  <si>
    <t>台</t>
  </si>
  <si>
    <r>
      <rPr>
        <sz val="11"/>
        <rFont val="Wingdings"/>
        <charset val="2"/>
      </rPr>
      <t>þ</t>
    </r>
    <r>
      <rPr>
        <sz val="11"/>
        <rFont val="宋体"/>
        <family val="3"/>
        <charset val="134"/>
      </rPr>
      <t xml:space="preserve">完成  </t>
    </r>
    <r>
      <rPr>
        <sz val="11"/>
        <rFont val="Wingdings"/>
        <charset val="2"/>
      </rPr>
      <t>o</t>
    </r>
    <r>
      <rPr>
        <sz val="11"/>
        <rFont val="宋体"/>
        <family val="3"/>
        <charset val="134"/>
      </rPr>
      <t>未完成</t>
    </r>
  </si>
  <si>
    <t>C1、C2、C3、C4</t>
  </si>
  <si>
    <t>1、项目工地外围监控2号点;
2、项目工地外围监控3、4号点;
3、项目工地外围监控6、7号点</t>
  </si>
  <si>
    <t>（二）硐外局域网络</t>
  </si>
  <si>
    <t>室外无线NAP（外置天线版）</t>
  </si>
  <si>
    <t>信锐</t>
  </si>
  <si>
    <t>NAP-8100(L)</t>
  </si>
  <si>
    <t>C2合同包</t>
  </si>
  <si>
    <t>C2办公区域1套</t>
  </si>
  <si>
    <t>营地新增加2套（2024年10月份提出覆盖，未施工）</t>
  </si>
  <si>
    <t>室外AP网口防雷器</t>
  </si>
  <si>
    <t>1000M 以太网</t>
  </si>
  <si>
    <t>配套室外无线NAP（外置天线版）使用</t>
  </si>
  <si>
    <t>室外定向天线</t>
  </si>
  <si>
    <t>ANT-2451-14dBi</t>
  </si>
  <si>
    <t>射频电缆</t>
  </si>
  <si>
    <t>CAB-RF-2M-LL-N</t>
  </si>
  <si>
    <t>根</t>
  </si>
  <si>
    <t>配套室外无线NAP（外置天线版）使用，每台4根。</t>
  </si>
  <si>
    <t>室外AP专用POE注入器</t>
  </si>
  <si>
    <t>千兆PoE注入器</t>
  </si>
  <si>
    <t>项</t>
  </si>
  <si>
    <t>室外防水安装配件</t>
  </si>
  <si>
    <t>国产</t>
  </si>
  <si>
    <t>3M</t>
  </si>
  <si>
    <t>室内超六类网线</t>
  </si>
  <si>
    <t>大华</t>
  </si>
  <si>
    <t>PFM920I-6U</t>
  </si>
  <si>
    <t>米</t>
  </si>
  <si>
    <t>脚手架</t>
  </si>
  <si>
    <t>定制</t>
  </si>
  <si>
    <t>架</t>
  </si>
  <si>
    <t>C1、C2、C3、C4、EPC共用</t>
  </si>
  <si>
    <t>（三）施工巷道口闸机ETC升级改造</t>
  </si>
  <si>
    <t>蓝牙阅读器</t>
  </si>
  <si>
    <t>海康威视</t>
  </si>
  <si>
    <t>DS-TRI400-4</t>
  </si>
  <si>
    <t>套</t>
  </si>
  <si>
    <t>C2施工巷道出入口</t>
  </si>
  <si>
    <t>蓝牙发卡器</t>
  </si>
  <si>
    <t>DS-TRD400-4</t>
  </si>
  <si>
    <t>蓝牙卡</t>
  </si>
  <si>
    <t>DS-TRC400-4</t>
  </si>
  <si>
    <t>张</t>
  </si>
  <si>
    <t>设备安装杆件</t>
  </si>
  <si>
    <t>信号线、电源线</t>
  </si>
  <si>
    <t>C2施工巷口10米</t>
  </si>
  <si>
    <t>控制主机</t>
  </si>
  <si>
    <t>DS-TPE300-S</t>
  </si>
  <si>
    <t>个</t>
  </si>
  <si>
    <t>C2值班室</t>
  </si>
  <si>
    <t>（四）厂区出入口门卫拉载物及离岗视频监控</t>
  </si>
  <si>
    <t>离岗检测摄像机</t>
  </si>
  <si>
    <t>DS-2CD2746FWDA</t>
  </si>
  <si>
    <t>安装位置：入场大门值班室</t>
  </si>
  <si>
    <t>高清球型摄像机</t>
  </si>
  <si>
    <t>iDS-2SE7C144MW-D</t>
  </si>
  <si>
    <t>监控杆</t>
  </si>
  <si>
    <t>抱杆机柜及配件</t>
  </si>
  <si>
    <t>信号、电源二合一避雷器</t>
  </si>
  <si>
    <t>12-24v</t>
  </si>
  <si>
    <t>直击雷防雷设施</t>
  </si>
  <si>
    <t>24U机柜</t>
  </si>
  <si>
    <t>（五）掌子面视频监控</t>
  </si>
  <si>
    <t>400W防爆定焦筒机</t>
  </si>
  <si>
    <t>DS-2XE8245FWD-XZHSW</t>
  </si>
  <si>
    <t>无线网桥</t>
  </si>
  <si>
    <t>锐捷</t>
  </si>
  <si>
    <t>锐捷CPE3500D</t>
  </si>
  <si>
    <t>对</t>
  </si>
  <si>
    <t>与400防爆智能无线筒机传输使用。
C1共5台：1、C1-1号大里程储油硐室1台;2、C1-2号大里程储油硐室1台;3、C1-3号大里程储油硐室1台;4、C1-4号大里程储油硐室1台;5、C1-5号大里程储油硐室1台;
C2共4台：1、C2-6号大里程储油硐室1台;2、C2-7号小里程储油硐室1台;3、C2-8号小里程储油硐室1台;4、C2-9号小里程储油硐室1台;
C3共5台：1、C3-11号大里程储油硐室1台;2、C3-12号小里程储油硐室1台;3、C3-13号小里程储油硐室1台;4、C3-14号大里程储油硐室1台；5、C3-15号大里程储油硐室1台。</t>
  </si>
  <si>
    <t>防爆支架</t>
  </si>
  <si>
    <t>DS-1677ZJ-XS-1.0</t>
  </si>
  <si>
    <t>400W防爆定焦筒机配套设备。</t>
  </si>
  <si>
    <t>户外12v电源</t>
  </si>
  <si>
    <t>DS-2FA1220-LL-H</t>
  </si>
  <si>
    <t>摄像机电源线</t>
  </si>
  <si>
    <t>RVV2*1.0</t>
  </si>
  <si>
    <t>包含预留平均每台50米</t>
  </si>
  <si>
    <t>移动支架</t>
  </si>
  <si>
    <t>根据现场环境定制部份需二次定制</t>
  </si>
  <si>
    <t>配套掌子面防爆枪机监控摄像枪机安装（一期合同中18台，二期6台）。</t>
  </si>
  <si>
    <t>（六）掌子面（球机）单独列项</t>
  </si>
  <si>
    <t>电源适配器</t>
  </si>
  <si>
    <t>DS-AC24</t>
  </si>
  <si>
    <t>2024-5-22
2024-05-28</t>
  </si>
  <si>
    <t>1、6#储油洞室小里程，
2、6#储油洞室大里程；
3、7#储油洞室小里程；
4、7#储油洞室大里程；
5、8#储油洞室小里程；
6、8#储油洞室大里程；
7、9#储油洞室小里程；
8、9#储油洞室大里程；
9、10#储油洞室小里程；
10、10#储油洞室大里程；</t>
  </si>
  <si>
    <t>吊装支架法兰</t>
  </si>
  <si>
    <t>配套甲供28台球机使用</t>
  </si>
  <si>
    <t>网线</t>
  </si>
  <si>
    <t>安普</t>
  </si>
  <si>
    <t>箱</t>
  </si>
  <si>
    <t>摄像机至、交换机、光收发器连接</t>
  </si>
  <si>
    <t>电力电缆</t>
  </si>
  <si>
    <t>每点位平均按照30米计算</t>
  </si>
  <si>
    <t>变色LED灯带</t>
  </si>
  <si>
    <t>设备所在位置提示：每点位20米摄像机处、设备箱基站处</t>
  </si>
  <si>
    <t>加长球机吊杆定制</t>
  </si>
  <si>
    <t>光纤收发器</t>
  </si>
  <si>
    <t>千兆工业交换机</t>
  </si>
  <si>
    <t>DS-3019</t>
  </si>
  <si>
    <t>配套甲供28台球机14个汇聚使用</t>
  </si>
  <si>
    <t>其他材料</t>
  </si>
  <si>
    <t>绝缘胶带、螺栓、挂钩、水晶头、插头、插座、扎带</t>
  </si>
  <si>
    <t>设备箱</t>
  </si>
  <si>
    <t>配套甲供28台球机安装光收发器电源+14个汇聚使用</t>
  </si>
  <si>
    <t>（七）地面重点区域视频监控</t>
  </si>
  <si>
    <t>C1、C2、C3、C4合同包</t>
  </si>
  <si>
    <t>共9台分别：1、项目出入口1台;
2、道路监控1台;
3、岔路口1台;
4、碎石厂1台;
5、营地门口1台;
6、弃渣厂1台;
7、C1门口1台;
8、值班室东面1台;
9、炸药库房1台。</t>
  </si>
  <si>
    <t>监控立杆</t>
  </si>
  <si>
    <t>电源防雷器</t>
  </si>
  <si>
    <t>普通木模板</t>
  </si>
  <si>
    <t>m²</t>
  </si>
  <si>
    <t>每个4.8m²共9个</t>
  </si>
  <si>
    <t>（八）硐内重点区域视频监控</t>
  </si>
  <si>
    <t>400万 全彩筒型网络摄像机</t>
  </si>
  <si>
    <t>DS-2CD2T47DWD-L</t>
  </si>
  <si>
    <t>2024/04/12
2023/11/06
2022/07/09
2023/03/05
2023/2/3
2023/03/25</t>
  </si>
  <si>
    <t>1、C2施工巷道口1台
2、C2-9号储油洞室与连接巷道口1台、
3、C2沉淀池1台；
4、C2上部连接巷道口1台；
5、C2-6上部连接巷道3-3 1台；
6、C2下部连接巷道口1台；
7、C2注浆点*2</t>
  </si>
  <si>
    <t>400万 插卡式摄像机</t>
  </si>
  <si>
    <t>DS-2CD3T46FWDA3</t>
  </si>
  <si>
    <t>弥补注浆网络不到位使用，每施工单位3台</t>
  </si>
  <si>
    <t>配套27台400万全彩筒型网络摄像机及9台400万插卡式摄像机使用</t>
  </si>
  <si>
    <t>室外防水箱及配件</t>
  </si>
  <si>
    <t>交换机</t>
  </si>
  <si>
    <t>DS-3E09</t>
  </si>
  <si>
    <t>1、C2-6号储油硐室1台；
2、C2-10号储油硐室1台；</t>
  </si>
  <si>
    <t>莱特林</t>
  </si>
  <si>
    <t>NETLINK-25KM</t>
  </si>
  <si>
    <t>1、C2施工巷道980米处1台-机房1台；
2、C2上部连接巷道3-3处1台-机房1台；</t>
  </si>
  <si>
    <t>CEP-5KM</t>
  </si>
  <si>
    <t>1、C2注浆点4对；
2、C2施工巷道掌子面2对；
3、C2共 6对：（1）C2-6号小里程储油硐室1对;（2）C2-7号小里程储油硐室1对;（3）C2-8号大里程储油硐室1对;（4）C2-9号小里程储油硐室1对;（5）C2-10号小里程储油硐室1对;（6）C2-10号大里程储油硐室
4、C2施工巷道1400米处（连接巷道内监控）1对；
5、C2施工巷道1400米处（连接巷道内监控）1对；</t>
  </si>
  <si>
    <t>（九）地面重点路段测速预警系统</t>
  </si>
  <si>
    <t>500万高清抓拍机</t>
  </si>
  <si>
    <t>EG-500</t>
  </si>
  <si>
    <t>只</t>
  </si>
  <si>
    <t>2024-3-24
2024-11-05</t>
  </si>
  <si>
    <t>分别安装于：1、岔路口测速点;2、弃渣场路口测速点;3、项目入口</t>
  </si>
  <si>
    <t>侧立专用窄波雷达</t>
  </si>
  <si>
    <t>EGTJ1</t>
  </si>
  <si>
    <t>高清镜头</t>
  </si>
  <si>
    <t>康标达</t>
  </si>
  <si>
    <t>M2514</t>
  </si>
  <si>
    <t>led爆闪灯</t>
  </si>
  <si>
    <t>图例</t>
  </si>
  <si>
    <t>护罩</t>
  </si>
  <si>
    <t>定制速度反馈系统</t>
  </si>
  <si>
    <t>Eguarder</t>
  </si>
  <si>
    <t>其它安装配件</t>
  </si>
  <si>
    <t>设备立杆</t>
  </si>
  <si>
    <t>（十）营地外围监控系统</t>
  </si>
  <si>
    <t>海康威视DS-2CD2T47DWD-L</t>
  </si>
  <si>
    <t>1、外围监控3号点1台;
2、外围监控4号点1台;
3、外围监控5号点1台。</t>
  </si>
  <si>
    <t>太阳能套装</t>
  </si>
  <si>
    <t>探越云</t>
  </si>
  <si>
    <t>100W60AH</t>
  </si>
  <si>
    <t>1、外围监控3号点;
2、外围监控7号点</t>
  </si>
  <si>
    <t>海康DS-2FA1220-LL-H</t>
  </si>
  <si>
    <t>1、外围监控3号点、
2、外围监控4号点、
3、外围监控5号点</t>
  </si>
  <si>
    <t>防水箱</t>
  </si>
  <si>
    <t>1、外围监控2号点；
2、外围监控4、5号点（共用）；
3、外围监控6、7号点（共用）</t>
  </si>
  <si>
    <t>（十一）有毒有害气体监测系统优化</t>
  </si>
  <si>
    <t>三合一便携式气体检测报警仪</t>
  </si>
  <si>
    <t>CD3</t>
  </si>
  <si>
    <t>C1、C2、C3</t>
  </si>
  <si>
    <t>（十二）人员及车辆定位系统优化</t>
  </si>
  <si>
    <t>车辆定位卡</t>
  </si>
  <si>
    <t>KJ152-K1</t>
  </si>
  <si>
    <t>安装单位:
负责人（签字）：
日  期：      年    月    日</t>
  </si>
  <si>
    <t>中重</t>
  </si>
  <si>
    <t>委托单位:
负责人（签字）：
日  期：       年    月    日</t>
  </si>
  <si>
    <t>注：本表一式肆份，委托单位留存叁份、安装单位留存一份</t>
  </si>
  <si>
    <t>1、C2-6号大里程储油硐室1台;2、C2-7号小里程储油硐室1台;3、C2-8号小里程储油硐室1台;4、C2-9号小里程储油硐室1台;</t>
    <phoneticPr fontId="15" type="noConversion"/>
  </si>
  <si>
    <t>1、C2-6号小里程储油硐室1台;2、C2-9号小里程储油硐室1台;3、C2-8号小里程储油硐室1台;4、C2-9号小里程储油硐室1台;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</si>
</sst>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 "/>
  </numFmts>
  <fonts count="17">
    <font>
      <sz val="11"/>
      <color theme="1"/>
      <name val="宋体"/>
      <charset val="134"/>
    </font>
    <font>
      <sz val="11"/>
      <color theme="1"/>
      <name val="宋体"/>
      <family val="3"/>
      <charset val="134"/>
      <scheme val="minor"/>
    </font>
    <font>
      <b/>
      <sz val="16"/>
      <name val="宋体"/>
      <family val="3"/>
      <charset val="134"/>
    </font>
    <font>
      <b/>
      <sz val="10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sz val="10"/>
      <color theme="1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name val="Wingdings"/>
      <charset val="2"/>
    </font>
    <font>
      <sz val="8"/>
      <name val="宋体"/>
      <family val="3"/>
      <charset val="134"/>
    </font>
    <font>
      <sz val="11"/>
      <name val="宋体"/>
      <family val="3"/>
      <charset val="134"/>
    </font>
    <font>
      <sz val="10"/>
      <name val="宋体"/>
      <family val="3"/>
      <charset val="134"/>
    </font>
    <font>
      <sz val="8"/>
      <name val="宋体"/>
      <family val="3"/>
      <charset val="134"/>
      <scheme val="minor"/>
    </font>
    <font>
      <sz val="12"/>
      <name val="Times New Roman"/>
      <family val="1"/>
    </font>
    <font>
      <b/>
      <sz val="20"/>
      <name val="宋体"/>
      <family val="3"/>
      <charset val="134"/>
    </font>
    <font>
      <b/>
      <sz val="10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3" tint="0.799920651875362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12" fillId="0" borderId="0"/>
  </cellStyleXfs>
  <cellXfs count="60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ont="1">
      <alignment vertical="center"/>
    </xf>
    <xf numFmtId="0" fontId="3" fillId="2" borderId="4" xfId="0" applyFont="1" applyFill="1" applyBorder="1" applyAlignment="1">
      <alignment horizontal="center" vertical="center"/>
    </xf>
    <xf numFmtId="0" fontId="0" fillId="0" borderId="4" xfId="0" applyFont="1" applyBorder="1">
      <alignment vertical="center"/>
    </xf>
    <xf numFmtId="0" fontId="6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8" fillId="0" borderId="4" xfId="0" applyFont="1" applyBorder="1">
      <alignment vertical="center"/>
    </xf>
    <xf numFmtId="0" fontId="9" fillId="3" borderId="4" xfId="0" applyFont="1" applyFill="1" applyBorder="1" applyAlignment="1">
      <alignment horizontal="center" vertical="center" wrapText="1"/>
    </xf>
    <xf numFmtId="14" fontId="9" fillId="3" borderId="4" xfId="0" applyNumberFormat="1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left" vertical="center" wrapText="1"/>
    </xf>
    <xf numFmtId="0" fontId="0" fillId="0" borderId="4" xfId="0" applyFont="1" applyBorder="1" applyAlignment="1">
      <alignment vertical="center" wrapText="1"/>
    </xf>
    <xf numFmtId="0" fontId="10" fillId="0" borderId="4" xfId="0" applyFont="1" applyBorder="1" applyAlignment="1">
      <alignment horizontal="left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left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left" vertical="center" wrapText="1"/>
    </xf>
    <xf numFmtId="0" fontId="0" fillId="0" borderId="4" xfId="0" applyBorder="1">
      <alignment vertical="center"/>
    </xf>
    <xf numFmtId="0" fontId="6" fillId="3" borderId="4" xfId="0" applyFont="1" applyFill="1" applyBorder="1" applyAlignment="1" applyProtection="1">
      <alignment horizontal="center" vertical="center" wrapText="1"/>
      <protection locked="0"/>
    </xf>
    <xf numFmtId="0" fontId="6" fillId="0" borderId="4" xfId="0" applyFont="1" applyBorder="1" applyAlignment="1" applyProtection="1">
      <alignment horizontal="center" vertical="center" wrapText="1"/>
      <protection locked="0"/>
    </xf>
    <xf numFmtId="0" fontId="6" fillId="0" borderId="4" xfId="0" applyFont="1" applyBorder="1" applyAlignment="1">
      <alignment horizontal="left" vertical="top" wrapText="1"/>
    </xf>
    <xf numFmtId="14" fontId="0" fillId="0" borderId="4" xfId="0" applyNumberFormat="1" applyFont="1" applyBorder="1" applyAlignment="1">
      <alignment horizontal="center" vertical="center" wrapText="1"/>
    </xf>
    <xf numFmtId="0" fontId="9" fillId="3" borderId="4" xfId="0" applyFont="1" applyFill="1" applyBorder="1" applyAlignment="1" applyProtection="1">
      <alignment horizontal="center" vertical="center" wrapText="1"/>
      <protection locked="0"/>
    </xf>
    <xf numFmtId="0" fontId="6" fillId="4" borderId="4" xfId="0" applyFont="1" applyFill="1" applyBorder="1" applyAlignment="1">
      <alignment horizontal="center" vertical="center" wrapText="1"/>
    </xf>
    <xf numFmtId="0" fontId="0" fillId="0" borderId="4" xfId="0" applyFont="1" applyBorder="1">
      <alignment vertical="center"/>
    </xf>
    <xf numFmtId="0" fontId="0" fillId="0" borderId="6" xfId="0" applyFont="1" applyBorder="1">
      <alignment vertical="center"/>
    </xf>
    <xf numFmtId="0" fontId="0" fillId="0" borderId="3" xfId="0" applyFont="1" applyBorder="1">
      <alignment vertical="center"/>
    </xf>
    <xf numFmtId="0" fontId="0" fillId="0" borderId="7" xfId="0" applyFont="1" applyBorder="1">
      <alignment vertical="center"/>
    </xf>
    <xf numFmtId="0" fontId="6" fillId="0" borderId="0" xfId="0" applyFont="1" applyFill="1" applyAlignment="1">
      <alignment horizontal="left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5" fillId="0" borderId="4" xfId="0" applyFont="1" applyBorder="1" applyAlignment="1">
      <alignment horizontal="center" vertical="center" wrapText="1"/>
    </xf>
    <xf numFmtId="176" fontId="6" fillId="0" borderId="4" xfId="0" applyNumberFormat="1" applyFont="1" applyBorder="1" applyAlignment="1">
      <alignment horizontal="center" vertical="center" wrapText="1"/>
    </xf>
    <xf numFmtId="0" fontId="0" fillId="3" borderId="4" xfId="0" applyFont="1" applyFill="1" applyBorder="1" applyAlignment="1">
      <alignment horizontal="center" vertical="center" wrapText="1"/>
    </xf>
    <xf numFmtId="14" fontId="0" fillId="3" borderId="4" xfId="0" applyNumberFormat="1" applyFont="1" applyFill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9" fillId="0" borderId="0" xfId="0" applyFont="1" applyFill="1" applyAlignment="1">
      <alignment horizontal="left" vertical="top" wrapText="1"/>
    </xf>
    <xf numFmtId="0" fontId="6" fillId="0" borderId="0" xfId="0" applyFont="1" applyFill="1" applyAlignment="1">
      <alignment horizontal="left" vertical="center" wrapText="1"/>
    </xf>
    <xf numFmtId="0" fontId="6" fillId="0" borderId="9" xfId="0" applyFont="1" applyFill="1" applyBorder="1" applyAlignment="1">
      <alignment horizontal="left" vertical="top" wrapText="1"/>
    </xf>
    <xf numFmtId="0" fontId="6" fillId="0" borderId="0" xfId="0" applyFont="1" applyFill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9" fillId="0" borderId="8" xfId="0" applyFont="1" applyFill="1" applyBorder="1" applyAlignment="1">
      <alignment horizontal="left" vertical="top" wrapText="1"/>
    </xf>
    <xf numFmtId="0" fontId="6" fillId="0" borderId="10" xfId="0" applyFont="1" applyFill="1" applyBorder="1" applyAlignment="1">
      <alignment horizontal="left" vertical="top" wrapText="1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left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16" fillId="0" borderId="4" xfId="0" applyFont="1" applyBorder="1" applyAlignment="1">
      <alignment vertical="center" wrapText="1"/>
    </xf>
  </cellXfs>
  <cellStyles count="2">
    <cellStyle name="_ET_STYLE_NoName_00_" xfId="1"/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6"/>
  <sheetViews>
    <sheetView tabSelected="1" view="pageBreakPreview" topLeftCell="A28" zoomScaleNormal="100" zoomScaleSheetLayoutView="100" workbookViewId="0">
      <selection activeCell="K31" sqref="K31"/>
    </sheetView>
  </sheetViews>
  <sheetFormatPr defaultColWidth="9" defaultRowHeight="13.5"/>
  <cols>
    <col min="1" max="1" width="6.5" style="38" customWidth="1"/>
    <col min="2" max="2" width="12" style="31" customWidth="1"/>
    <col min="3" max="3" width="10.875" style="31" customWidth="1"/>
    <col min="4" max="4" width="13.125" style="31" customWidth="1"/>
    <col min="5" max="5" width="5.75" style="31" customWidth="1"/>
    <col min="6" max="6" width="5.375" style="31" customWidth="1"/>
    <col min="7" max="7" width="17.125" style="31" customWidth="1"/>
    <col min="8" max="8" width="12.125" style="38" customWidth="1"/>
    <col min="9" max="9" width="9.25" style="31" customWidth="1"/>
    <col min="10" max="10" width="59.5" style="39" customWidth="1"/>
    <col min="11" max="11" width="54.25" customWidth="1"/>
  </cols>
  <sheetData>
    <row r="1" spans="1:11" s="1" customFormat="1" ht="20.25">
      <c r="A1" s="54" t="s">
        <v>0</v>
      </c>
      <c r="B1" s="55"/>
      <c r="C1" s="55"/>
      <c r="D1" s="55"/>
      <c r="E1" s="55"/>
      <c r="F1" s="55"/>
      <c r="G1" s="55"/>
      <c r="H1" s="55"/>
      <c r="I1" s="55"/>
      <c r="J1" s="56"/>
    </row>
    <row r="2" spans="1:11">
      <c r="A2" s="30" t="s">
        <v>1</v>
      </c>
      <c r="B2" s="30" t="s">
        <v>2</v>
      </c>
      <c r="C2" s="30" t="s">
        <v>3</v>
      </c>
      <c r="D2" s="30" t="s">
        <v>4</v>
      </c>
      <c r="E2" s="30" t="s">
        <v>5</v>
      </c>
      <c r="F2" s="30" t="s">
        <v>6</v>
      </c>
      <c r="G2" s="30" t="s">
        <v>7</v>
      </c>
      <c r="H2" s="30" t="s">
        <v>8</v>
      </c>
      <c r="I2" s="30" t="s">
        <v>9</v>
      </c>
      <c r="J2" s="30" t="s">
        <v>10</v>
      </c>
      <c r="K2" s="3" t="s">
        <v>10</v>
      </c>
    </row>
    <row r="3" spans="1:11">
      <c r="A3" s="51" t="s">
        <v>11</v>
      </c>
      <c r="B3" s="46"/>
      <c r="C3" s="46"/>
      <c r="D3" s="46"/>
      <c r="E3" s="46"/>
      <c r="F3" s="46"/>
      <c r="G3" s="46"/>
      <c r="H3" s="51"/>
      <c r="I3" s="46"/>
      <c r="J3" s="46"/>
      <c r="K3" s="4"/>
    </row>
    <row r="4" spans="1:11" ht="40.5">
      <c r="A4" s="32">
        <v>1</v>
      </c>
      <c r="B4" s="5" t="s">
        <v>12</v>
      </c>
      <c r="C4" s="5" t="s">
        <v>13</v>
      </c>
      <c r="D4" s="5" t="s">
        <v>14</v>
      </c>
      <c r="E4" s="5" t="s">
        <v>15</v>
      </c>
      <c r="F4" s="33">
        <v>3</v>
      </c>
      <c r="G4" s="6" t="s">
        <v>16</v>
      </c>
      <c r="H4" s="33"/>
      <c r="I4" s="12" t="s">
        <v>17</v>
      </c>
      <c r="J4" s="7" t="s">
        <v>18</v>
      </c>
      <c r="K4" s="8"/>
    </row>
    <row r="5" spans="1:11">
      <c r="A5" s="51" t="s">
        <v>19</v>
      </c>
      <c r="B5" s="46"/>
      <c r="C5" s="46"/>
      <c r="D5" s="46"/>
      <c r="E5" s="46"/>
      <c r="F5" s="46"/>
      <c r="G5" s="46"/>
      <c r="H5" s="51"/>
      <c r="I5" s="46"/>
      <c r="J5" s="46"/>
      <c r="K5" s="4"/>
    </row>
    <row r="6" spans="1:11" ht="81">
      <c r="A6" s="9">
        <v>1</v>
      </c>
      <c r="B6" s="9" t="s">
        <v>20</v>
      </c>
      <c r="C6" s="9" t="s">
        <v>21</v>
      </c>
      <c r="D6" s="9" t="s">
        <v>22</v>
      </c>
      <c r="E6" s="9" t="s">
        <v>15</v>
      </c>
      <c r="F6" s="9">
        <v>1</v>
      </c>
      <c r="G6" s="6" t="s">
        <v>16</v>
      </c>
      <c r="H6" s="10">
        <v>45098</v>
      </c>
      <c r="I6" s="9" t="s">
        <v>23</v>
      </c>
      <c r="J6" s="11" t="s">
        <v>24</v>
      </c>
      <c r="K6" s="12" t="s">
        <v>25</v>
      </c>
    </row>
    <row r="7" spans="1:11" ht="27">
      <c r="A7" s="9">
        <v>2</v>
      </c>
      <c r="B7" s="9" t="s">
        <v>26</v>
      </c>
      <c r="C7" s="9" t="s">
        <v>21</v>
      </c>
      <c r="D7" s="9" t="s">
        <v>27</v>
      </c>
      <c r="E7" s="9" t="s">
        <v>15</v>
      </c>
      <c r="F7" s="9">
        <v>1</v>
      </c>
      <c r="G7" s="6" t="s">
        <v>16</v>
      </c>
      <c r="H7" s="10">
        <v>45098</v>
      </c>
      <c r="I7" s="9" t="s">
        <v>23</v>
      </c>
      <c r="J7" s="13" t="s">
        <v>28</v>
      </c>
      <c r="K7" s="4"/>
    </row>
    <row r="8" spans="1:11" ht="27">
      <c r="A8" s="9">
        <v>3</v>
      </c>
      <c r="B8" s="9" t="s">
        <v>29</v>
      </c>
      <c r="C8" s="9" t="s">
        <v>21</v>
      </c>
      <c r="D8" s="9" t="s">
        <v>30</v>
      </c>
      <c r="E8" s="9" t="s">
        <v>15</v>
      </c>
      <c r="F8" s="9">
        <v>1</v>
      </c>
      <c r="G8" s="6" t="s">
        <v>16</v>
      </c>
      <c r="H8" s="10">
        <v>45098</v>
      </c>
      <c r="I8" s="9" t="s">
        <v>23</v>
      </c>
      <c r="J8" s="13" t="s">
        <v>28</v>
      </c>
      <c r="K8" s="14"/>
    </row>
    <row r="9" spans="1:11" ht="27">
      <c r="A9" s="9">
        <v>4</v>
      </c>
      <c r="B9" s="9" t="s">
        <v>31</v>
      </c>
      <c r="C9" s="9" t="s">
        <v>21</v>
      </c>
      <c r="D9" s="9" t="s">
        <v>32</v>
      </c>
      <c r="E9" s="9" t="s">
        <v>33</v>
      </c>
      <c r="F9" s="9">
        <v>4</v>
      </c>
      <c r="G9" s="6" t="s">
        <v>16</v>
      </c>
      <c r="H9" s="10">
        <v>45098</v>
      </c>
      <c r="I9" s="9" t="s">
        <v>23</v>
      </c>
      <c r="J9" s="13" t="s">
        <v>34</v>
      </c>
      <c r="K9" s="14"/>
    </row>
    <row r="10" spans="1:11" ht="27">
      <c r="A10" s="9">
        <v>5</v>
      </c>
      <c r="B10" s="9" t="s">
        <v>35</v>
      </c>
      <c r="C10" s="9" t="s">
        <v>21</v>
      </c>
      <c r="D10" s="9" t="s">
        <v>36</v>
      </c>
      <c r="E10" s="9" t="s">
        <v>37</v>
      </c>
      <c r="F10" s="9">
        <v>1</v>
      </c>
      <c r="G10" s="6" t="s">
        <v>16</v>
      </c>
      <c r="H10" s="10">
        <v>45098</v>
      </c>
      <c r="I10" s="9" t="s">
        <v>23</v>
      </c>
      <c r="J10" s="13" t="s">
        <v>28</v>
      </c>
      <c r="K10" s="14"/>
    </row>
    <row r="11" spans="1:11" ht="27">
      <c r="A11" s="9">
        <v>6</v>
      </c>
      <c r="B11" s="9" t="s">
        <v>38</v>
      </c>
      <c r="C11" s="9" t="s">
        <v>39</v>
      </c>
      <c r="D11" s="9" t="s">
        <v>40</v>
      </c>
      <c r="E11" s="9" t="s">
        <v>37</v>
      </c>
      <c r="F11" s="9">
        <v>1</v>
      </c>
      <c r="G11" s="6" t="s">
        <v>16</v>
      </c>
      <c r="H11" s="10">
        <v>45098</v>
      </c>
      <c r="I11" s="9" t="s">
        <v>23</v>
      </c>
      <c r="J11" s="13" t="s">
        <v>28</v>
      </c>
      <c r="K11" s="4"/>
    </row>
    <row r="12" spans="1:11" ht="27">
      <c r="A12" s="9">
        <v>7</v>
      </c>
      <c r="B12" s="9" t="s">
        <v>41</v>
      </c>
      <c r="C12" s="9" t="s">
        <v>42</v>
      </c>
      <c r="D12" s="9" t="s">
        <v>43</v>
      </c>
      <c r="E12" s="9" t="s">
        <v>44</v>
      </c>
      <c r="F12" s="9">
        <v>13</v>
      </c>
      <c r="G12" s="6" t="s">
        <v>16</v>
      </c>
      <c r="H12" s="10">
        <v>45098</v>
      </c>
      <c r="I12" s="9" t="s">
        <v>23</v>
      </c>
      <c r="J12" s="15" t="s">
        <v>28</v>
      </c>
      <c r="K12" s="4"/>
    </row>
    <row r="13" spans="1:11" s="2" customFormat="1" ht="40.5">
      <c r="A13" s="9">
        <v>8</v>
      </c>
      <c r="B13" s="9" t="s">
        <v>45</v>
      </c>
      <c r="C13" s="9" t="s">
        <v>39</v>
      </c>
      <c r="D13" s="9" t="s">
        <v>46</v>
      </c>
      <c r="E13" s="9" t="s">
        <v>47</v>
      </c>
      <c r="F13" s="9">
        <v>1</v>
      </c>
      <c r="G13" s="6" t="s">
        <v>16</v>
      </c>
      <c r="H13" s="10">
        <v>45098</v>
      </c>
      <c r="I13" s="9" t="s">
        <v>48</v>
      </c>
      <c r="J13" s="13"/>
      <c r="K13" s="4"/>
    </row>
    <row r="14" spans="1:11">
      <c r="A14" s="51" t="s">
        <v>49</v>
      </c>
      <c r="B14" s="46"/>
      <c r="C14" s="46"/>
      <c r="D14" s="46"/>
      <c r="E14" s="46"/>
      <c r="F14" s="46"/>
      <c r="G14" s="46"/>
      <c r="H14" s="51"/>
      <c r="I14" s="46"/>
      <c r="J14" s="46"/>
      <c r="K14" s="4"/>
    </row>
    <row r="15" spans="1:11" ht="14.25">
      <c r="A15" s="34">
        <v>1</v>
      </c>
      <c r="B15" s="16" t="s">
        <v>50</v>
      </c>
      <c r="C15" s="16" t="s">
        <v>51</v>
      </c>
      <c r="D15" s="16" t="s">
        <v>52</v>
      </c>
      <c r="E15" s="16" t="s">
        <v>53</v>
      </c>
      <c r="F15" s="16">
        <v>2</v>
      </c>
      <c r="G15" s="6" t="s">
        <v>16</v>
      </c>
      <c r="H15" s="35">
        <v>45137</v>
      </c>
      <c r="I15" s="9" t="s">
        <v>23</v>
      </c>
      <c r="J15" s="17" t="s">
        <v>54</v>
      </c>
      <c r="K15" s="4"/>
    </row>
    <row r="16" spans="1:11" ht="14.25">
      <c r="A16" s="34">
        <v>2</v>
      </c>
      <c r="B16" s="16" t="s">
        <v>55</v>
      </c>
      <c r="C16" s="16" t="s">
        <v>51</v>
      </c>
      <c r="D16" s="16" t="s">
        <v>56</v>
      </c>
      <c r="E16" s="16" t="s">
        <v>53</v>
      </c>
      <c r="F16" s="16">
        <v>1</v>
      </c>
      <c r="G16" s="6" t="s">
        <v>16</v>
      </c>
      <c r="H16" s="35">
        <v>45137</v>
      </c>
      <c r="I16" s="9" t="s">
        <v>23</v>
      </c>
      <c r="J16" s="17" t="s">
        <v>54</v>
      </c>
      <c r="K16" s="4"/>
    </row>
    <row r="17" spans="1:11" ht="14.25">
      <c r="A17" s="34">
        <v>3</v>
      </c>
      <c r="B17" s="16" t="s">
        <v>57</v>
      </c>
      <c r="C17" s="16" t="s">
        <v>51</v>
      </c>
      <c r="D17" s="16" t="s">
        <v>58</v>
      </c>
      <c r="E17" s="16" t="s">
        <v>59</v>
      </c>
      <c r="F17" s="16">
        <v>150</v>
      </c>
      <c r="G17" s="6" t="s">
        <v>16</v>
      </c>
      <c r="H17" s="35">
        <v>45137</v>
      </c>
      <c r="I17" s="9" t="s">
        <v>23</v>
      </c>
      <c r="J17" s="17" t="s">
        <v>54</v>
      </c>
      <c r="K17" s="4"/>
    </row>
    <row r="18" spans="1:11" ht="14.25">
      <c r="A18" s="34">
        <v>4</v>
      </c>
      <c r="B18" s="16" t="s">
        <v>60</v>
      </c>
      <c r="C18" s="16" t="s">
        <v>39</v>
      </c>
      <c r="D18" s="16" t="s">
        <v>46</v>
      </c>
      <c r="E18" s="16" t="s">
        <v>53</v>
      </c>
      <c r="F18" s="16">
        <v>2</v>
      </c>
      <c r="G18" s="6" t="s">
        <v>16</v>
      </c>
      <c r="H18" s="35">
        <v>45137</v>
      </c>
      <c r="I18" s="9" t="s">
        <v>23</v>
      </c>
      <c r="J18" s="17" t="s">
        <v>54</v>
      </c>
      <c r="K18" s="4"/>
    </row>
    <row r="19" spans="1:11" ht="27">
      <c r="A19" s="34">
        <v>5</v>
      </c>
      <c r="B19" s="16" t="s">
        <v>61</v>
      </c>
      <c r="C19" s="16" t="s">
        <v>39</v>
      </c>
      <c r="D19" s="16" t="s">
        <v>46</v>
      </c>
      <c r="E19" s="16" t="s">
        <v>44</v>
      </c>
      <c r="F19" s="16">
        <v>14</v>
      </c>
      <c r="G19" s="6" t="s">
        <v>16</v>
      </c>
      <c r="H19" s="35">
        <v>45137</v>
      </c>
      <c r="I19" s="9" t="s">
        <v>23</v>
      </c>
      <c r="J19" s="17" t="s">
        <v>62</v>
      </c>
      <c r="K19" s="4"/>
    </row>
    <row r="20" spans="1:11" ht="14.25">
      <c r="A20" s="34">
        <v>6</v>
      </c>
      <c r="B20" s="16" t="s">
        <v>63</v>
      </c>
      <c r="C20" s="16" t="s">
        <v>51</v>
      </c>
      <c r="D20" s="16" t="s">
        <v>64</v>
      </c>
      <c r="E20" s="16" t="s">
        <v>65</v>
      </c>
      <c r="F20" s="16">
        <v>1</v>
      </c>
      <c r="G20" s="6" t="s">
        <v>16</v>
      </c>
      <c r="H20" s="35">
        <v>45137</v>
      </c>
      <c r="I20" s="9" t="s">
        <v>23</v>
      </c>
      <c r="J20" s="17" t="s">
        <v>66</v>
      </c>
      <c r="K20" s="4"/>
    </row>
    <row r="21" spans="1:11">
      <c r="A21" s="57" t="s">
        <v>67</v>
      </c>
      <c r="B21" s="57"/>
      <c r="C21" s="58"/>
      <c r="D21" s="57"/>
      <c r="E21" s="57"/>
      <c r="F21" s="57"/>
      <c r="G21" s="57"/>
      <c r="H21" s="57"/>
      <c r="I21" s="57"/>
      <c r="J21" s="57"/>
      <c r="K21" s="18"/>
    </row>
    <row r="22" spans="1:11" ht="27">
      <c r="A22" s="34">
        <v>1</v>
      </c>
      <c r="B22" s="19" t="s">
        <v>68</v>
      </c>
      <c r="C22" s="16" t="s">
        <v>51</v>
      </c>
      <c r="D22" s="19" t="s">
        <v>69</v>
      </c>
      <c r="E22" s="19" t="s">
        <v>65</v>
      </c>
      <c r="F22" s="19">
        <v>1</v>
      </c>
      <c r="G22" s="6" t="s">
        <v>16</v>
      </c>
      <c r="H22" s="35">
        <v>45087</v>
      </c>
      <c r="I22" s="12" t="s">
        <v>17</v>
      </c>
      <c r="J22" s="17" t="s">
        <v>70</v>
      </c>
      <c r="K22" s="18"/>
    </row>
    <row r="23" spans="1:11" ht="27">
      <c r="A23" s="34">
        <v>2</v>
      </c>
      <c r="B23" s="19" t="s">
        <v>71</v>
      </c>
      <c r="C23" s="16" t="s">
        <v>51</v>
      </c>
      <c r="D23" s="19" t="s">
        <v>72</v>
      </c>
      <c r="E23" s="19" t="s">
        <v>65</v>
      </c>
      <c r="F23" s="19">
        <v>1</v>
      </c>
      <c r="G23" s="6" t="s">
        <v>16</v>
      </c>
      <c r="H23" s="35">
        <v>45087</v>
      </c>
      <c r="I23" s="12" t="s">
        <v>17</v>
      </c>
      <c r="J23" s="17" t="s">
        <v>70</v>
      </c>
      <c r="K23" s="18"/>
    </row>
    <row r="24" spans="1:11" ht="27">
      <c r="A24" s="34">
        <v>3</v>
      </c>
      <c r="B24" s="19" t="s">
        <v>73</v>
      </c>
      <c r="C24" s="19" t="s">
        <v>39</v>
      </c>
      <c r="D24" s="19" t="s">
        <v>46</v>
      </c>
      <c r="E24" s="19" t="s">
        <v>53</v>
      </c>
      <c r="F24" s="19">
        <v>1</v>
      </c>
      <c r="G24" s="6" t="s">
        <v>16</v>
      </c>
      <c r="H24" s="35">
        <v>45087</v>
      </c>
      <c r="I24" s="12" t="s">
        <v>17</v>
      </c>
      <c r="J24" s="17" t="s">
        <v>70</v>
      </c>
      <c r="K24" s="18"/>
    </row>
    <row r="25" spans="1:11" ht="27">
      <c r="A25" s="34">
        <v>4</v>
      </c>
      <c r="B25" s="20" t="s">
        <v>74</v>
      </c>
      <c r="C25" s="19" t="s">
        <v>39</v>
      </c>
      <c r="D25" s="20" t="s">
        <v>46</v>
      </c>
      <c r="E25" s="20" t="s">
        <v>53</v>
      </c>
      <c r="F25" s="20">
        <v>1</v>
      </c>
      <c r="G25" s="6" t="s">
        <v>16</v>
      </c>
      <c r="H25" s="35">
        <v>45087</v>
      </c>
      <c r="I25" s="12" t="s">
        <v>17</v>
      </c>
      <c r="J25" s="7" t="s">
        <v>70</v>
      </c>
      <c r="K25" s="18"/>
    </row>
    <row r="26" spans="1:11" ht="27">
      <c r="A26" s="34">
        <v>5</v>
      </c>
      <c r="B26" s="5" t="s">
        <v>75</v>
      </c>
      <c r="C26" s="19" t="s">
        <v>39</v>
      </c>
      <c r="D26" s="5" t="s">
        <v>76</v>
      </c>
      <c r="E26" s="5" t="s">
        <v>53</v>
      </c>
      <c r="F26" s="5">
        <v>2</v>
      </c>
      <c r="G26" s="6" t="s">
        <v>16</v>
      </c>
      <c r="H26" s="35">
        <v>45087</v>
      </c>
      <c r="I26" s="12" t="s">
        <v>17</v>
      </c>
      <c r="J26" s="7" t="s">
        <v>70</v>
      </c>
      <c r="K26" s="18"/>
    </row>
    <row r="27" spans="1:11" ht="27">
      <c r="A27" s="34">
        <v>6</v>
      </c>
      <c r="B27" s="5" t="s">
        <v>77</v>
      </c>
      <c r="C27" s="19" t="s">
        <v>39</v>
      </c>
      <c r="D27" s="5" t="s">
        <v>46</v>
      </c>
      <c r="E27" s="5" t="s">
        <v>53</v>
      </c>
      <c r="F27" s="5">
        <v>1</v>
      </c>
      <c r="G27" s="6" t="s">
        <v>16</v>
      </c>
      <c r="H27" s="35">
        <v>45087</v>
      </c>
      <c r="I27" s="12" t="s">
        <v>17</v>
      </c>
      <c r="J27" s="7" t="s">
        <v>70</v>
      </c>
      <c r="K27" s="18"/>
    </row>
    <row r="28" spans="1:11" ht="27">
      <c r="A28" s="34">
        <v>7</v>
      </c>
      <c r="B28" s="20" t="s">
        <v>78</v>
      </c>
      <c r="C28" s="19" t="s">
        <v>39</v>
      </c>
      <c r="D28" s="20" t="s">
        <v>46</v>
      </c>
      <c r="E28" s="20" t="s">
        <v>15</v>
      </c>
      <c r="F28" s="20">
        <v>1</v>
      </c>
      <c r="G28" s="6" t="s">
        <v>16</v>
      </c>
      <c r="H28" s="35">
        <v>45087</v>
      </c>
      <c r="I28" s="12" t="s">
        <v>17</v>
      </c>
      <c r="J28" s="7" t="s">
        <v>70</v>
      </c>
      <c r="K28" s="18"/>
    </row>
    <row r="29" spans="1:11" ht="27">
      <c r="A29" s="34">
        <v>8</v>
      </c>
      <c r="B29" s="5" t="s">
        <v>61</v>
      </c>
      <c r="C29" s="19" t="s">
        <v>39</v>
      </c>
      <c r="D29" s="20" t="s">
        <v>46</v>
      </c>
      <c r="E29" s="20" t="s">
        <v>44</v>
      </c>
      <c r="F29" s="20">
        <v>35</v>
      </c>
      <c r="G29" s="6" t="s">
        <v>16</v>
      </c>
      <c r="H29" s="35">
        <v>45087</v>
      </c>
      <c r="I29" s="12" t="s">
        <v>17</v>
      </c>
      <c r="J29" s="7" t="s">
        <v>70</v>
      </c>
      <c r="K29" s="18"/>
    </row>
    <row r="30" spans="1:11">
      <c r="A30" s="51" t="s">
        <v>79</v>
      </c>
      <c r="B30" s="51"/>
      <c r="C30" s="46"/>
      <c r="D30" s="51"/>
      <c r="E30" s="51"/>
      <c r="F30" s="51"/>
      <c r="G30" s="51"/>
      <c r="H30" s="51"/>
      <c r="I30" s="51"/>
      <c r="J30" s="51"/>
      <c r="K30" s="18"/>
    </row>
    <row r="31" spans="1:11" ht="40.5">
      <c r="A31" s="34">
        <v>1</v>
      </c>
      <c r="B31" s="5" t="s">
        <v>80</v>
      </c>
      <c r="C31" s="5" t="s">
        <v>51</v>
      </c>
      <c r="D31" s="5" t="s">
        <v>81</v>
      </c>
      <c r="E31" s="5" t="s">
        <v>15</v>
      </c>
      <c r="F31" s="5">
        <v>4</v>
      </c>
      <c r="G31" s="6" t="s">
        <v>16</v>
      </c>
      <c r="H31" s="22">
        <v>45236</v>
      </c>
      <c r="I31" s="9" t="s">
        <v>23</v>
      </c>
      <c r="J31" s="7" t="s">
        <v>188</v>
      </c>
      <c r="K31" s="59" t="s">
        <v>189</v>
      </c>
    </row>
    <row r="32" spans="1:11" ht="121.5">
      <c r="A32" s="34">
        <v>2</v>
      </c>
      <c r="B32" s="5" t="s">
        <v>82</v>
      </c>
      <c r="C32" s="5" t="s">
        <v>83</v>
      </c>
      <c r="D32" s="5" t="s">
        <v>84</v>
      </c>
      <c r="E32" s="5" t="s">
        <v>85</v>
      </c>
      <c r="F32" s="5">
        <v>5</v>
      </c>
      <c r="G32" s="6" t="s">
        <v>16</v>
      </c>
      <c r="H32" s="22">
        <v>45236</v>
      </c>
      <c r="I32" s="9" t="s">
        <v>23</v>
      </c>
      <c r="J32" s="21" t="s">
        <v>86</v>
      </c>
      <c r="K32" s="18"/>
    </row>
    <row r="33" spans="1:11" ht="27">
      <c r="A33" s="34">
        <v>3</v>
      </c>
      <c r="B33" s="5" t="s">
        <v>87</v>
      </c>
      <c r="C33" s="5" t="s">
        <v>51</v>
      </c>
      <c r="D33" s="5" t="s">
        <v>88</v>
      </c>
      <c r="E33" s="5" t="s">
        <v>15</v>
      </c>
      <c r="F33" s="5">
        <v>6</v>
      </c>
      <c r="G33" s="6" t="s">
        <v>16</v>
      </c>
      <c r="H33" s="22">
        <v>45236</v>
      </c>
      <c r="I33" s="9" t="s">
        <v>23</v>
      </c>
      <c r="J33" s="7" t="s">
        <v>89</v>
      </c>
      <c r="K33" s="18"/>
    </row>
    <row r="34" spans="1:11" ht="27">
      <c r="A34" s="34">
        <v>4</v>
      </c>
      <c r="B34" s="5" t="s">
        <v>90</v>
      </c>
      <c r="C34" s="5" t="s">
        <v>51</v>
      </c>
      <c r="D34" s="5" t="s">
        <v>91</v>
      </c>
      <c r="E34" s="5" t="s">
        <v>65</v>
      </c>
      <c r="F34" s="5">
        <v>7</v>
      </c>
      <c r="G34" s="6" t="s">
        <v>16</v>
      </c>
      <c r="H34" s="22">
        <v>45236</v>
      </c>
      <c r="I34" s="9" t="s">
        <v>23</v>
      </c>
      <c r="J34" s="7" t="s">
        <v>89</v>
      </c>
      <c r="K34" s="18"/>
    </row>
    <row r="35" spans="1:11" ht="14.25">
      <c r="A35" s="34">
        <v>5</v>
      </c>
      <c r="B35" s="5" t="s">
        <v>92</v>
      </c>
      <c r="C35" s="5" t="s">
        <v>51</v>
      </c>
      <c r="D35" s="5" t="s">
        <v>93</v>
      </c>
      <c r="E35" s="5" t="s">
        <v>44</v>
      </c>
      <c r="F35" s="5">
        <f>F31*50</f>
        <v>200</v>
      </c>
      <c r="G35" s="6" t="s">
        <v>16</v>
      </c>
      <c r="H35" s="22">
        <v>45236</v>
      </c>
      <c r="I35" s="9" t="s">
        <v>23</v>
      </c>
      <c r="J35" s="7" t="s">
        <v>94</v>
      </c>
      <c r="K35" s="18"/>
    </row>
    <row r="36" spans="1:11" ht="40.5">
      <c r="A36" s="34">
        <v>6</v>
      </c>
      <c r="B36" s="5" t="s">
        <v>95</v>
      </c>
      <c r="C36" s="5" t="s">
        <v>39</v>
      </c>
      <c r="D36" s="5" t="s">
        <v>96</v>
      </c>
      <c r="E36" s="5" t="s">
        <v>15</v>
      </c>
      <c r="F36" s="5">
        <v>4</v>
      </c>
      <c r="G36" s="6" t="s">
        <v>16</v>
      </c>
      <c r="H36" s="22">
        <v>45236</v>
      </c>
      <c r="I36" s="9" t="s">
        <v>23</v>
      </c>
      <c r="J36" s="7" t="s">
        <v>97</v>
      </c>
      <c r="K36" s="18"/>
    </row>
    <row r="37" spans="1:11">
      <c r="A37" s="51" t="s">
        <v>98</v>
      </c>
      <c r="B37" s="51"/>
      <c r="C37" s="46"/>
      <c r="D37" s="51"/>
      <c r="E37" s="51"/>
      <c r="F37" s="51"/>
      <c r="G37" s="51"/>
      <c r="H37" s="51"/>
      <c r="I37" s="51"/>
      <c r="J37" s="51"/>
      <c r="K37" s="18"/>
    </row>
    <row r="38" spans="1:11" ht="135">
      <c r="A38" s="34">
        <v>1</v>
      </c>
      <c r="B38" s="5" t="s">
        <v>99</v>
      </c>
      <c r="C38" s="5" t="s">
        <v>51</v>
      </c>
      <c r="D38" s="5" t="s">
        <v>100</v>
      </c>
      <c r="E38" s="5" t="s">
        <v>53</v>
      </c>
      <c r="F38" s="5">
        <v>10</v>
      </c>
      <c r="G38" s="6" t="s">
        <v>16</v>
      </c>
      <c r="H38" s="22" t="s">
        <v>101</v>
      </c>
      <c r="I38" s="9" t="s">
        <v>23</v>
      </c>
      <c r="J38" s="7" t="s">
        <v>102</v>
      </c>
      <c r="K38" s="18"/>
    </row>
    <row r="39" spans="1:11" ht="27">
      <c r="A39" s="34">
        <v>2</v>
      </c>
      <c r="B39" s="5" t="s">
        <v>103</v>
      </c>
      <c r="C39" s="5" t="s">
        <v>39</v>
      </c>
      <c r="D39" s="5" t="s">
        <v>46</v>
      </c>
      <c r="E39" s="5" t="s">
        <v>65</v>
      </c>
      <c r="F39" s="5">
        <f>F38</f>
        <v>10</v>
      </c>
      <c r="G39" s="6" t="s">
        <v>16</v>
      </c>
      <c r="H39" s="22" t="s">
        <v>101</v>
      </c>
      <c r="I39" s="9" t="s">
        <v>23</v>
      </c>
      <c r="J39" s="7" t="s">
        <v>104</v>
      </c>
      <c r="K39" s="18"/>
    </row>
    <row r="40" spans="1:11" ht="27">
      <c r="A40" s="34">
        <v>3</v>
      </c>
      <c r="B40" s="5" t="s">
        <v>105</v>
      </c>
      <c r="C40" s="5" t="s">
        <v>106</v>
      </c>
      <c r="D40" s="5" t="s">
        <v>106</v>
      </c>
      <c r="E40" s="5" t="s">
        <v>107</v>
      </c>
      <c r="F40" s="5">
        <v>1</v>
      </c>
      <c r="G40" s="6" t="s">
        <v>16</v>
      </c>
      <c r="H40" s="22" t="s">
        <v>101</v>
      </c>
      <c r="I40" s="9" t="s">
        <v>23</v>
      </c>
      <c r="J40" s="7" t="s">
        <v>108</v>
      </c>
      <c r="K40" s="18"/>
    </row>
    <row r="41" spans="1:11" ht="27">
      <c r="A41" s="34">
        <v>4</v>
      </c>
      <c r="B41" s="5" t="s">
        <v>109</v>
      </c>
      <c r="C41" s="5" t="s">
        <v>39</v>
      </c>
      <c r="D41" s="5" t="s">
        <v>39</v>
      </c>
      <c r="E41" s="5" t="s">
        <v>44</v>
      </c>
      <c r="F41" s="5">
        <f>F38*30</f>
        <v>300</v>
      </c>
      <c r="G41" s="6" t="s">
        <v>16</v>
      </c>
      <c r="H41" s="22" t="s">
        <v>101</v>
      </c>
      <c r="I41" s="9" t="s">
        <v>23</v>
      </c>
      <c r="J41" s="7" t="s">
        <v>110</v>
      </c>
      <c r="K41" s="18"/>
    </row>
    <row r="42" spans="1:11" ht="27">
      <c r="A42" s="34">
        <v>5</v>
      </c>
      <c r="B42" s="5" t="s">
        <v>111</v>
      </c>
      <c r="C42" s="5" t="s">
        <v>39</v>
      </c>
      <c r="D42" s="5" t="s">
        <v>39</v>
      </c>
      <c r="E42" s="5" t="s">
        <v>44</v>
      </c>
      <c r="F42" s="5">
        <f>12*20</f>
        <v>240</v>
      </c>
      <c r="G42" s="6" t="s">
        <v>16</v>
      </c>
      <c r="H42" s="22" t="s">
        <v>101</v>
      </c>
      <c r="I42" s="9" t="s">
        <v>23</v>
      </c>
      <c r="J42" s="7" t="s">
        <v>112</v>
      </c>
      <c r="K42" s="18"/>
    </row>
    <row r="43" spans="1:11" ht="135">
      <c r="A43" s="34">
        <v>6</v>
      </c>
      <c r="B43" s="5" t="s">
        <v>113</v>
      </c>
      <c r="C43" s="5" t="s">
        <v>39</v>
      </c>
      <c r="D43" s="5" t="s">
        <v>46</v>
      </c>
      <c r="E43" s="5" t="s">
        <v>53</v>
      </c>
      <c r="F43" s="5">
        <f>F38</f>
        <v>10</v>
      </c>
      <c r="G43" s="6" t="s">
        <v>16</v>
      </c>
      <c r="H43" s="22" t="s">
        <v>101</v>
      </c>
      <c r="I43" s="9" t="s">
        <v>23</v>
      </c>
      <c r="J43" s="7" t="s">
        <v>102</v>
      </c>
      <c r="K43" s="18"/>
    </row>
    <row r="44" spans="1:11" ht="135">
      <c r="A44" s="34">
        <v>7</v>
      </c>
      <c r="B44" s="5" t="s">
        <v>114</v>
      </c>
      <c r="C44" s="5" t="s">
        <v>83</v>
      </c>
      <c r="D44" s="5" t="s">
        <v>83</v>
      </c>
      <c r="E44" s="5" t="s">
        <v>85</v>
      </c>
      <c r="F44" s="5">
        <f>F38</f>
        <v>10</v>
      </c>
      <c r="G44" s="6" t="s">
        <v>16</v>
      </c>
      <c r="H44" s="22" t="s">
        <v>101</v>
      </c>
      <c r="I44" s="9" t="s">
        <v>23</v>
      </c>
      <c r="J44" s="7" t="s">
        <v>102</v>
      </c>
      <c r="K44" s="18"/>
    </row>
    <row r="45" spans="1:11" ht="27">
      <c r="A45" s="34">
        <v>8</v>
      </c>
      <c r="B45" s="5" t="s">
        <v>115</v>
      </c>
      <c r="C45" s="5" t="s">
        <v>51</v>
      </c>
      <c r="D45" s="5" t="s">
        <v>116</v>
      </c>
      <c r="E45" s="5" t="s">
        <v>15</v>
      </c>
      <c r="F45" s="5">
        <f>F38</f>
        <v>10</v>
      </c>
      <c r="G45" s="6" t="s">
        <v>16</v>
      </c>
      <c r="H45" s="22" t="s">
        <v>101</v>
      </c>
      <c r="I45" s="9" t="s">
        <v>23</v>
      </c>
      <c r="J45" s="7" t="s">
        <v>117</v>
      </c>
      <c r="K45" s="18"/>
    </row>
    <row r="46" spans="1:11" ht="27">
      <c r="A46" s="34">
        <v>9</v>
      </c>
      <c r="B46" s="5" t="s">
        <v>118</v>
      </c>
      <c r="C46" s="5"/>
      <c r="D46" s="5"/>
      <c r="E46" s="5" t="s">
        <v>53</v>
      </c>
      <c r="F46" s="5">
        <f>F38</f>
        <v>10</v>
      </c>
      <c r="G46" s="6" t="s">
        <v>16</v>
      </c>
      <c r="H46" s="22" t="s">
        <v>101</v>
      </c>
      <c r="I46" s="9" t="s">
        <v>23</v>
      </c>
      <c r="J46" s="7" t="s">
        <v>119</v>
      </c>
      <c r="K46" s="18"/>
    </row>
    <row r="47" spans="1:11" ht="27">
      <c r="A47" s="34">
        <v>10</v>
      </c>
      <c r="B47" s="5" t="s">
        <v>120</v>
      </c>
      <c r="C47" s="5" t="s">
        <v>39</v>
      </c>
      <c r="D47" s="5" t="s">
        <v>39</v>
      </c>
      <c r="E47" s="5" t="s">
        <v>53</v>
      </c>
      <c r="F47" s="5">
        <v>15</v>
      </c>
      <c r="G47" s="6" t="s">
        <v>16</v>
      </c>
      <c r="H47" s="22" t="s">
        <v>101</v>
      </c>
      <c r="I47" s="9" t="s">
        <v>23</v>
      </c>
      <c r="J47" s="7" t="s">
        <v>121</v>
      </c>
      <c r="K47" s="18"/>
    </row>
    <row r="48" spans="1:11">
      <c r="A48" s="44" t="s">
        <v>122</v>
      </c>
      <c r="B48" s="45"/>
      <c r="C48" s="46"/>
      <c r="D48" s="45"/>
      <c r="E48" s="45"/>
      <c r="F48" s="45"/>
      <c r="G48" s="45"/>
      <c r="H48" s="45"/>
      <c r="I48" s="45"/>
      <c r="J48" s="47"/>
      <c r="K48" s="18"/>
    </row>
    <row r="49" spans="1:11" ht="121.5">
      <c r="A49" s="34">
        <v>1</v>
      </c>
      <c r="B49" s="5" t="s">
        <v>71</v>
      </c>
      <c r="C49" s="5" t="s">
        <v>51</v>
      </c>
      <c r="D49" s="5" t="s">
        <v>72</v>
      </c>
      <c r="E49" s="5" t="s">
        <v>15</v>
      </c>
      <c r="F49" s="5">
        <v>9</v>
      </c>
      <c r="G49" s="6" t="s">
        <v>16</v>
      </c>
      <c r="H49" s="22">
        <v>45064</v>
      </c>
      <c r="I49" s="12" t="s">
        <v>123</v>
      </c>
      <c r="J49" s="7" t="s">
        <v>124</v>
      </c>
      <c r="K49" s="18"/>
    </row>
    <row r="50" spans="1:11" ht="121.5">
      <c r="A50" s="34">
        <v>2</v>
      </c>
      <c r="B50" s="23" t="s">
        <v>125</v>
      </c>
      <c r="C50" s="23" t="s">
        <v>39</v>
      </c>
      <c r="D50" s="23" t="s">
        <v>46</v>
      </c>
      <c r="E50" s="23" t="s">
        <v>53</v>
      </c>
      <c r="F50" s="23">
        <v>9</v>
      </c>
      <c r="G50" s="6" t="s">
        <v>16</v>
      </c>
      <c r="H50" s="22">
        <v>45064</v>
      </c>
      <c r="I50" s="12" t="s">
        <v>123</v>
      </c>
      <c r="J50" s="7" t="s">
        <v>124</v>
      </c>
      <c r="K50" s="18"/>
    </row>
    <row r="51" spans="1:11" ht="121.5">
      <c r="A51" s="34">
        <v>3</v>
      </c>
      <c r="B51" s="5" t="s">
        <v>74</v>
      </c>
      <c r="C51" s="5" t="s">
        <v>39</v>
      </c>
      <c r="D51" s="5" t="s">
        <v>46</v>
      </c>
      <c r="E51" s="5" t="s">
        <v>53</v>
      </c>
      <c r="F51" s="5">
        <v>9</v>
      </c>
      <c r="G51" s="6" t="s">
        <v>16</v>
      </c>
      <c r="H51" s="22">
        <v>45064</v>
      </c>
      <c r="I51" s="12" t="s">
        <v>123</v>
      </c>
      <c r="J51" s="7" t="s">
        <v>124</v>
      </c>
      <c r="K51" s="18"/>
    </row>
    <row r="52" spans="1:11" ht="121.5">
      <c r="A52" s="34">
        <v>4</v>
      </c>
      <c r="B52" s="5" t="s">
        <v>75</v>
      </c>
      <c r="C52" s="5" t="s">
        <v>39</v>
      </c>
      <c r="D52" s="5" t="s">
        <v>76</v>
      </c>
      <c r="E52" s="5" t="s">
        <v>53</v>
      </c>
      <c r="F52" s="5">
        <v>9</v>
      </c>
      <c r="G52" s="6" t="s">
        <v>16</v>
      </c>
      <c r="H52" s="22">
        <v>45064</v>
      </c>
      <c r="I52" s="12" t="s">
        <v>123</v>
      </c>
      <c r="J52" s="7" t="s">
        <v>124</v>
      </c>
      <c r="K52" s="18"/>
    </row>
    <row r="53" spans="1:11" ht="121.5">
      <c r="A53" s="34">
        <v>5</v>
      </c>
      <c r="B53" s="5" t="s">
        <v>77</v>
      </c>
      <c r="C53" s="5" t="s">
        <v>39</v>
      </c>
      <c r="D53" s="5" t="s">
        <v>46</v>
      </c>
      <c r="E53" s="5" t="s">
        <v>53</v>
      </c>
      <c r="F53" s="5">
        <v>9</v>
      </c>
      <c r="G53" s="6" t="s">
        <v>16</v>
      </c>
      <c r="H53" s="22">
        <v>45064</v>
      </c>
      <c r="I53" s="12" t="s">
        <v>123</v>
      </c>
      <c r="J53" s="7" t="s">
        <v>124</v>
      </c>
      <c r="K53" s="18"/>
    </row>
    <row r="54" spans="1:11" ht="121.5">
      <c r="A54" s="34">
        <v>6</v>
      </c>
      <c r="B54" s="5" t="s">
        <v>126</v>
      </c>
      <c r="C54" s="5" t="s">
        <v>39</v>
      </c>
      <c r="D54" s="5" t="s">
        <v>46</v>
      </c>
      <c r="E54" s="5" t="s">
        <v>53</v>
      </c>
      <c r="F54" s="5">
        <v>9</v>
      </c>
      <c r="G54" s="6" t="s">
        <v>16</v>
      </c>
      <c r="H54" s="22">
        <v>45064</v>
      </c>
      <c r="I54" s="12" t="s">
        <v>123</v>
      </c>
      <c r="J54" s="7" t="s">
        <v>124</v>
      </c>
      <c r="K54" s="18"/>
    </row>
    <row r="55" spans="1:11" ht="40.5">
      <c r="A55" s="34">
        <v>7</v>
      </c>
      <c r="B55" s="5" t="s">
        <v>127</v>
      </c>
      <c r="C55" s="5" t="s">
        <v>39</v>
      </c>
      <c r="D55" s="5" t="s">
        <v>46</v>
      </c>
      <c r="E55" s="5" t="s">
        <v>128</v>
      </c>
      <c r="F55" s="5">
        <v>43.2</v>
      </c>
      <c r="G55" s="6" t="s">
        <v>16</v>
      </c>
      <c r="H55" s="22">
        <v>45064</v>
      </c>
      <c r="I55" s="12" t="s">
        <v>123</v>
      </c>
      <c r="J55" s="7" t="s">
        <v>129</v>
      </c>
      <c r="K55" s="18"/>
    </row>
    <row r="56" spans="1:11">
      <c r="A56" s="44" t="s">
        <v>130</v>
      </c>
      <c r="B56" s="45"/>
      <c r="C56" s="46"/>
      <c r="D56" s="45"/>
      <c r="E56" s="45"/>
      <c r="F56" s="45"/>
      <c r="G56" s="45"/>
      <c r="H56" s="45"/>
      <c r="I56" s="45"/>
      <c r="J56" s="47"/>
      <c r="K56" s="18"/>
    </row>
    <row r="57" spans="1:11" ht="108">
      <c r="A57" s="34">
        <v>1</v>
      </c>
      <c r="B57" s="9" t="s">
        <v>131</v>
      </c>
      <c r="C57" s="9" t="s">
        <v>51</v>
      </c>
      <c r="D57" s="9" t="s">
        <v>132</v>
      </c>
      <c r="E57" s="9" t="s">
        <v>15</v>
      </c>
      <c r="F57" s="9">
        <v>8</v>
      </c>
      <c r="G57" s="6" t="s">
        <v>16</v>
      </c>
      <c r="H57" s="9" t="s">
        <v>133</v>
      </c>
      <c r="I57" s="9" t="s">
        <v>23</v>
      </c>
      <c r="J57" s="11" t="s">
        <v>134</v>
      </c>
      <c r="K57" s="18"/>
    </row>
    <row r="58" spans="1:11" ht="27">
      <c r="A58" s="34">
        <v>2</v>
      </c>
      <c r="B58" s="9" t="s">
        <v>135</v>
      </c>
      <c r="C58" s="9" t="s">
        <v>51</v>
      </c>
      <c r="D58" s="9" t="s">
        <v>136</v>
      </c>
      <c r="E58" s="9" t="s">
        <v>53</v>
      </c>
      <c r="F58" s="9">
        <v>3</v>
      </c>
      <c r="G58" s="6" t="s">
        <v>16</v>
      </c>
      <c r="H58" s="10">
        <v>44959</v>
      </c>
      <c r="I58" s="9" t="s">
        <v>23</v>
      </c>
      <c r="J58" s="11" t="s">
        <v>137</v>
      </c>
      <c r="K58" s="18"/>
    </row>
    <row r="59" spans="1:11" ht="27">
      <c r="A59" s="34">
        <v>3</v>
      </c>
      <c r="B59" s="5" t="s">
        <v>90</v>
      </c>
      <c r="C59" s="9" t="s">
        <v>51</v>
      </c>
      <c r="D59" s="5" t="s">
        <v>91</v>
      </c>
      <c r="E59" s="5" t="s">
        <v>53</v>
      </c>
      <c r="F59" s="5">
        <f>F57+F58</f>
        <v>11</v>
      </c>
      <c r="G59" s="6" t="s">
        <v>16</v>
      </c>
      <c r="H59" s="10">
        <v>44959</v>
      </c>
      <c r="I59" s="9" t="s">
        <v>23</v>
      </c>
      <c r="J59" s="7" t="s">
        <v>138</v>
      </c>
      <c r="K59" s="18"/>
    </row>
    <row r="60" spans="1:11" ht="27">
      <c r="A60" s="34">
        <v>4</v>
      </c>
      <c r="B60" s="24" t="s">
        <v>139</v>
      </c>
      <c r="C60" s="24" t="s">
        <v>39</v>
      </c>
      <c r="D60" s="24" t="s">
        <v>46</v>
      </c>
      <c r="E60" s="24" t="s">
        <v>53</v>
      </c>
      <c r="F60" s="5">
        <v>11</v>
      </c>
      <c r="G60" s="6" t="s">
        <v>16</v>
      </c>
      <c r="H60" s="10">
        <v>44959</v>
      </c>
      <c r="I60" s="9" t="s">
        <v>23</v>
      </c>
      <c r="J60" s="7" t="s">
        <v>138</v>
      </c>
      <c r="K60" s="18"/>
    </row>
    <row r="61" spans="1:11" ht="27">
      <c r="A61" s="34">
        <v>5</v>
      </c>
      <c r="B61" s="5" t="s">
        <v>140</v>
      </c>
      <c r="C61" s="5" t="s">
        <v>51</v>
      </c>
      <c r="D61" s="5" t="s">
        <v>141</v>
      </c>
      <c r="E61" s="5" t="s">
        <v>15</v>
      </c>
      <c r="F61" s="5">
        <v>2</v>
      </c>
      <c r="G61" s="6" t="s">
        <v>16</v>
      </c>
      <c r="H61" s="10">
        <v>44959</v>
      </c>
      <c r="I61" s="9" t="s">
        <v>23</v>
      </c>
      <c r="J61" s="7" t="s">
        <v>142</v>
      </c>
      <c r="K61" s="18"/>
    </row>
    <row r="62" spans="1:11" ht="54">
      <c r="A62" s="34">
        <v>6</v>
      </c>
      <c r="B62" s="5" t="s">
        <v>114</v>
      </c>
      <c r="C62" s="5" t="s">
        <v>143</v>
      </c>
      <c r="D62" s="5" t="s">
        <v>144</v>
      </c>
      <c r="E62" s="5" t="s">
        <v>15</v>
      </c>
      <c r="F62" s="5">
        <v>4</v>
      </c>
      <c r="G62" s="6" t="s">
        <v>16</v>
      </c>
      <c r="H62" s="10">
        <v>44959</v>
      </c>
      <c r="I62" s="9" t="s">
        <v>23</v>
      </c>
      <c r="J62" s="7" t="s">
        <v>145</v>
      </c>
      <c r="K62" s="18"/>
    </row>
    <row r="63" spans="1:11" ht="175.5">
      <c r="A63" s="34">
        <v>7</v>
      </c>
      <c r="B63" s="5" t="s">
        <v>82</v>
      </c>
      <c r="C63" s="5"/>
      <c r="D63" s="5" t="s">
        <v>146</v>
      </c>
      <c r="E63" s="5" t="s">
        <v>85</v>
      </c>
      <c r="F63" s="5">
        <v>14</v>
      </c>
      <c r="G63" s="6" t="s">
        <v>16</v>
      </c>
      <c r="H63" s="9" t="s">
        <v>133</v>
      </c>
      <c r="I63" s="9" t="s">
        <v>23</v>
      </c>
      <c r="J63" s="7" t="s">
        <v>147</v>
      </c>
      <c r="K63" s="18"/>
    </row>
    <row r="64" spans="1:11">
      <c r="A64" s="44" t="s">
        <v>148</v>
      </c>
      <c r="B64" s="45"/>
      <c r="C64" s="46"/>
      <c r="D64" s="45"/>
      <c r="E64" s="45"/>
      <c r="F64" s="45"/>
      <c r="G64" s="45"/>
      <c r="H64" s="45"/>
      <c r="I64" s="45"/>
      <c r="J64" s="47"/>
      <c r="K64" s="18"/>
    </row>
    <row r="65" spans="1:11" ht="40.5">
      <c r="A65" s="36">
        <v>1</v>
      </c>
      <c r="B65" s="5" t="s">
        <v>149</v>
      </c>
      <c r="C65" s="5"/>
      <c r="D65" s="5" t="s">
        <v>150</v>
      </c>
      <c r="E65" s="5" t="s">
        <v>151</v>
      </c>
      <c r="F65" s="5">
        <v>3</v>
      </c>
      <c r="G65" s="6" t="s">
        <v>16</v>
      </c>
      <c r="H65" s="22" t="s">
        <v>152</v>
      </c>
      <c r="I65" s="12" t="s">
        <v>123</v>
      </c>
      <c r="J65" s="7" t="s">
        <v>153</v>
      </c>
      <c r="K65" s="18"/>
    </row>
    <row r="66" spans="1:11" ht="40.5">
      <c r="A66" s="36">
        <v>2</v>
      </c>
      <c r="B66" s="5" t="s">
        <v>154</v>
      </c>
      <c r="C66" s="5"/>
      <c r="D66" s="5" t="s">
        <v>155</v>
      </c>
      <c r="E66" s="5" t="s">
        <v>53</v>
      </c>
      <c r="F66" s="5">
        <v>3</v>
      </c>
      <c r="G66" s="6" t="s">
        <v>16</v>
      </c>
      <c r="H66" s="22" t="s">
        <v>152</v>
      </c>
      <c r="I66" s="12" t="s">
        <v>123</v>
      </c>
      <c r="J66" s="7" t="s">
        <v>153</v>
      </c>
      <c r="K66" s="18"/>
    </row>
    <row r="67" spans="1:11" ht="40.5">
      <c r="A67" s="36">
        <v>3</v>
      </c>
      <c r="B67" s="5" t="s">
        <v>156</v>
      </c>
      <c r="C67" s="5" t="s">
        <v>157</v>
      </c>
      <c r="D67" s="5" t="s">
        <v>158</v>
      </c>
      <c r="E67" s="5" t="s">
        <v>151</v>
      </c>
      <c r="F67" s="5">
        <v>3</v>
      </c>
      <c r="G67" s="6" t="s">
        <v>16</v>
      </c>
      <c r="H67" s="22" t="s">
        <v>152</v>
      </c>
      <c r="I67" s="12" t="s">
        <v>123</v>
      </c>
      <c r="J67" s="7" t="s">
        <v>153</v>
      </c>
      <c r="K67" s="18"/>
    </row>
    <row r="68" spans="1:11" ht="40.5">
      <c r="A68" s="36">
        <v>4</v>
      </c>
      <c r="B68" s="5" t="s">
        <v>159</v>
      </c>
      <c r="C68" s="5"/>
      <c r="D68" s="5" t="s">
        <v>160</v>
      </c>
      <c r="E68" s="5" t="s">
        <v>53</v>
      </c>
      <c r="F68" s="5">
        <v>3</v>
      </c>
      <c r="G68" s="6" t="s">
        <v>16</v>
      </c>
      <c r="H68" s="22" t="s">
        <v>152</v>
      </c>
      <c r="I68" s="12" t="s">
        <v>123</v>
      </c>
      <c r="J68" s="7" t="s">
        <v>153</v>
      </c>
      <c r="K68" s="18"/>
    </row>
    <row r="69" spans="1:11" ht="40.5">
      <c r="A69" s="36">
        <v>5</v>
      </c>
      <c r="B69" s="5" t="s">
        <v>161</v>
      </c>
      <c r="C69" s="5" t="s">
        <v>39</v>
      </c>
      <c r="D69" s="5" t="s">
        <v>46</v>
      </c>
      <c r="E69" s="5" t="s">
        <v>151</v>
      </c>
      <c r="F69" s="5">
        <v>3</v>
      </c>
      <c r="G69" s="6" t="s">
        <v>16</v>
      </c>
      <c r="H69" s="22" t="s">
        <v>152</v>
      </c>
      <c r="I69" s="12" t="s">
        <v>123</v>
      </c>
      <c r="J69" s="7" t="s">
        <v>153</v>
      </c>
      <c r="K69" s="18"/>
    </row>
    <row r="70" spans="1:11" ht="40.5">
      <c r="A70" s="36">
        <v>6</v>
      </c>
      <c r="B70" s="5" t="s">
        <v>162</v>
      </c>
      <c r="C70" s="5" t="s">
        <v>163</v>
      </c>
      <c r="D70" s="5" t="s">
        <v>163</v>
      </c>
      <c r="E70" s="5" t="s">
        <v>53</v>
      </c>
      <c r="F70" s="5">
        <v>3</v>
      </c>
      <c r="G70" s="6" t="s">
        <v>16</v>
      </c>
      <c r="H70" s="22" t="s">
        <v>152</v>
      </c>
      <c r="I70" s="12" t="s">
        <v>123</v>
      </c>
      <c r="J70" s="7" t="s">
        <v>153</v>
      </c>
      <c r="K70" s="18"/>
    </row>
    <row r="71" spans="1:11" ht="40.5">
      <c r="A71" s="36">
        <v>7</v>
      </c>
      <c r="B71" s="5" t="s">
        <v>164</v>
      </c>
      <c r="C71" s="5" t="s">
        <v>39</v>
      </c>
      <c r="D71" s="5" t="s">
        <v>46</v>
      </c>
      <c r="E71" s="5" t="s">
        <v>53</v>
      </c>
      <c r="F71" s="5">
        <v>3</v>
      </c>
      <c r="G71" s="6" t="s">
        <v>16</v>
      </c>
      <c r="H71" s="22" t="s">
        <v>152</v>
      </c>
      <c r="I71" s="12" t="s">
        <v>123</v>
      </c>
      <c r="J71" s="7" t="s">
        <v>153</v>
      </c>
      <c r="K71" s="18"/>
    </row>
    <row r="72" spans="1:11" ht="40.5">
      <c r="A72" s="36">
        <v>8</v>
      </c>
      <c r="B72" s="5" t="s">
        <v>165</v>
      </c>
      <c r="C72" s="5" t="s">
        <v>39</v>
      </c>
      <c r="D72" s="5" t="s">
        <v>46</v>
      </c>
      <c r="E72" s="5" t="s">
        <v>53</v>
      </c>
      <c r="F72" s="5">
        <v>3</v>
      </c>
      <c r="G72" s="6" t="s">
        <v>16</v>
      </c>
      <c r="H72" s="22" t="s">
        <v>152</v>
      </c>
      <c r="I72" s="12" t="s">
        <v>123</v>
      </c>
      <c r="J72" s="7" t="s">
        <v>153</v>
      </c>
      <c r="K72" s="18"/>
    </row>
    <row r="73" spans="1:11" ht="40.5">
      <c r="A73" s="36">
        <v>9</v>
      </c>
      <c r="B73" s="5" t="s">
        <v>82</v>
      </c>
      <c r="C73" s="5"/>
      <c r="D73" s="5"/>
      <c r="E73" s="5" t="s">
        <v>85</v>
      </c>
      <c r="F73" s="5">
        <v>3</v>
      </c>
      <c r="G73" s="6" t="s">
        <v>16</v>
      </c>
      <c r="H73" s="22" t="s">
        <v>152</v>
      </c>
      <c r="I73" s="12" t="s">
        <v>123</v>
      </c>
      <c r="J73" s="7" t="s">
        <v>153</v>
      </c>
      <c r="K73" s="18"/>
    </row>
    <row r="74" spans="1:11">
      <c r="A74" s="44" t="s">
        <v>166</v>
      </c>
      <c r="B74" s="45"/>
      <c r="C74" s="46"/>
      <c r="D74" s="45"/>
      <c r="E74" s="45"/>
      <c r="F74" s="45"/>
      <c r="G74" s="45"/>
      <c r="H74" s="45"/>
      <c r="I74" s="45"/>
      <c r="J74" s="47"/>
      <c r="K74" s="18"/>
    </row>
    <row r="75" spans="1:11" ht="40.5">
      <c r="A75" s="36">
        <v>1</v>
      </c>
      <c r="B75" s="5" t="s">
        <v>131</v>
      </c>
      <c r="C75" s="5" t="s">
        <v>51</v>
      </c>
      <c r="D75" s="5" t="s">
        <v>167</v>
      </c>
      <c r="E75" s="5" t="s">
        <v>15</v>
      </c>
      <c r="F75" s="33">
        <v>3</v>
      </c>
      <c r="G75" s="6" t="s">
        <v>16</v>
      </c>
      <c r="H75" s="22">
        <v>45365</v>
      </c>
      <c r="I75" s="12" t="s">
        <v>123</v>
      </c>
      <c r="J75" s="7" t="s">
        <v>168</v>
      </c>
      <c r="K75" s="18"/>
    </row>
    <row r="76" spans="1:11" ht="40.5">
      <c r="A76" s="36">
        <v>2</v>
      </c>
      <c r="B76" s="5" t="s">
        <v>169</v>
      </c>
      <c r="C76" s="5" t="s">
        <v>170</v>
      </c>
      <c r="D76" s="5" t="s">
        <v>171</v>
      </c>
      <c r="E76" s="5" t="s">
        <v>53</v>
      </c>
      <c r="F76" s="33">
        <v>2</v>
      </c>
      <c r="G76" s="6" t="s">
        <v>16</v>
      </c>
      <c r="H76" s="22">
        <v>45365</v>
      </c>
      <c r="I76" s="12" t="s">
        <v>123</v>
      </c>
      <c r="J76" s="7" t="s">
        <v>172</v>
      </c>
      <c r="K76" s="18"/>
    </row>
    <row r="77" spans="1:11" s="2" customFormat="1" ht="40.5">
      <c r="A77" s="36">
        <v>3</v>
      </c>
      <c r="B77" s="5" t="s">
        <v>12</v>
      </c>
      <c r="C77" s="5" t="s">
        <v>13</v>
      </c>
      <c r="D77" s="5" t="s">
        <v>14</v>
      </c>
      <c r="E77" s="5" t="s">
        <v>15</v>
      </c>
      <c r="F77" s="5">
        <v>3</v>
      </c>
      <c r="G77" s="6" t="s">
        <v>16</v>
      </c>
      <c r="H77" s="22">
        <v>45365</v>
      </c>
      <c r="I77" s="12" t="s">
        <v>123</v>
      </c>
      <c r="J77" s="7" t="s">
        <v>168</v>
      </c>
      <c r="K77" s="25"/>
    </row>
    <row r="78" spans="1:11" ht="40.5">
      <c r="A78" s="36">
        <v>3</v>
      </c>
      <c r="B78" s="5" t="s">
        <v>90</v>
      </c>
      <c r="C78" s="5" t="s">
        <v>51</v>
      </c>
      <c r="D78" s="5" t="s">
        <v>173</v>
      </c>
      <c r="E78" s="5" t="s">
        <v>15</v>
      </c>
      <c r="F78" s="33">
        <v>3</v>
      </c>
      <c r="G78" s="6" t="s">
        <v>16</v>
      </c>
      <c r="H78" s="22">
        <v>45365</v>
      </c>
      <c r="I78" s="12" t="s">
        <v>123</v>
      </c>
      <c r="J78" s="7" t="s">
        <v>174</v>
      </c>
      <c r="K78" s="18"/>
    </row>
    <row r="79" spans="1:11" ht="40.5">
      <c r="A79" s="36">
        <v>4</v>
      </c>
      <c r="B79" s="5" t="s">
        <v>175</v>
      </c>
      <c r="C79" s="5" t="s">
        <v>51</v>
      </c>
      <c r="D79" s="5" t="s">
        <v>46</v>
      </c>
      <c r="E79" s="5" t="s">
        <v>53</v>
      </c>
      <c r="F79" s="33">
        <v>3</v>
      </c>
      <c r="G79" s="6" t="s">
        <v>16</v>
      </c>
      <c r="H79" s="22">
        <v>45365</v>
      </c>
      <c r="I79" s="12" t="s">
        <v>123</v>
      </c>
      <c r="J79" s="7" t="s">
        <v>176</v>
      </c>
      <c r="K79" s="18"/>
    </row>
    <row r="80" spans="1:11">
      <c r="A80" s="48" t="s">
        <v>177</v>
      </c>
      <c r="B80" s="49"/>
      <c r="C80" s="50" t="s">
        <v>39</v>
      </c>
      <c r="D80" s="49"/>
      <c r="E80" s="49"/>
      <c r="F80" s="49"/>
      <c r="G80" s="46"/>
      <c r="H80" s="51"/>
      <c r="I80" s="46"/>
      <c r="J80" s="46"/>
      <c r="K80" s="26"/>
    </row>
    <row r="81" spans="1:11" ht="40.5">
      <c r="A81" s="36">
        <v>1</v>
      </c>
      <c r="B81" s="5" t="s">
        <v>178</v>
      </c>
      <c r="C81" s="37"/>
      <c r="D81" s="5" t="s">
        <v>179</v>
      </c>
      <c r="E81" s="5" t="s">
        <v>15</v>
      </c>
      <c r="F81" s="5">
        <v>3</v>
      </c>
      <c r="G81" s="6" t="s">
        <v>16</v>
      </c>
      <c r="H81" s="22"/>
      <c r="I81" s="12" t="s">
        <v>180</v>
      </c>
      <c r="J81" s="12"/>
      <c r="K81" s="27"/>
    </row>
    <row r="82" spans="1:11">
      <c r="A82" s="48" t="s">
        <v>181</v>
      </c>
      <c r="B82" s="49"/>
      <c r="C82" s="50"/>
      <c r="D82" s="49"/>
      <c r="E82" s="49"/>
      <c r="F82" s="49"/>
      <c r="G82" s="49"/>
      <c r="H82" s="48"/>
      <c r="I82" s="49"/>
      <c r="J82" s="49"/>
      <c r="K82" s="28"/>
    </row>
    <row r="83" spans="1:11" ht="27">
      <c r="A83" s="36">
        <v>1</v>
      </c>
      <c r="B83" s="5" t="s">
        <v>182</v>
      </c>
      <c r="C83" s="37"/>
      <c r="D83" s="5" t="s">
        <v>183</v>
      </c>
      <c r="E83" s="5" t="s">
        <v>65</v>
      </c>
      <c r="F83" s="5">
        <v>400</v>
      </c>
      <c r="G83" s="6" t="s">
        <v>16</v>
      </c>
      <c r="H83" s="22"/>
      <c r="I83" s="11" t="s">
        <v>180</v>
      </c>
      <c r="J83" s="12"/>
      <c r="K83" s="27"/>
    </row>
    <row r="84" spans="1:11">
      <c r="A84" s="52" t="s">
        <v>184</v>
      </c>
      <c r="B84" s="42"/>
      <c r="C84" s="50" t="s">
        <v>185</v>
      </c>
      <c r="D84" s="42"/>
      <c r="E84" s="42"/>
      <c r="F84" s="42"/>
      <c r="G84" s="53"/>
      <c r="H84" s="52" t="s">
        <v>186</v>
      </c>
      <c r="I84" s="42"/>
      <c r="J84" s="42"/>
      <c r="K84" s="53"/>
    </row>
    <row r="85" spans="1:11">
      <c r="A85" s="40" t="s">
        <v>187</v>
      </c>
      <c r="B85" s="41"/>
      <c r="C85" s="42"/>
      <c r="D85" s="41"/>
      <c r="E85" s="41"/>
      <c r="F85" s="43"/>
      <c r="G85" s="43"/>
      <c r="H85" s="41"/>
      <c r="I85" s="41"/>
      <c r="J85" s="41"/>
      <c r="K85" s="43"/>
    </row>
    <row r="86" spans="1:11">
      <c r="C86" s="29"/>
    </row>
  </sheetData>
  <mergeCells count="16">
    <mergeCell ref="A1:J1"/>
    <mergeCell ref="A3:J3"/>
    <mergeCell ref="A5:J5"/>
    <mergeCell ref="A14:J14"/>
    <mergeCell ref="A21:J21"/>
    <mergeCell ref="A30:J30"/>
    <mergeCell ref="A37:J37"/>
    <mergeCell ref="A48:J48"/>
    <mergeCell ref="A56:J56"/>
    <mergeCell ref="A64:J64"/>
    <mergeCell ref="A85:K85"/>
    <mergeCell ref="A74:J74"/>
    <mergeCell ref="A80:J80"/>
    <mergeCell ref="A82:J82"/>
    <mergeCell ref="A84:G84"/>
    <mergeCell ref="H84:K84"/>
  </mergeCells>
  <phoneticPr fontId="15" type="noConversion"/>
  <pageMargins left="0.75" right="0.75" top="1" bottom="1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C2合同包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SLBSX</dc:creator>
  <cp:lastModifiedBy>Administrator</cp:lastModifiedBy>
  <cp:lastPrinted>2026-09-14T10:27:22Z</cp:lastPrinted>
  <dcterms:created xsi:type="dcterms:W3CDTF">2025-03-25T10:11:00Z</dcterms:created>
  <dcterms:modified xsi:type="dcterms:W3CDTF">2026-09-15T12:50:32Z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B07DC19C0FE24BA1ACE26CA2189863E2_11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